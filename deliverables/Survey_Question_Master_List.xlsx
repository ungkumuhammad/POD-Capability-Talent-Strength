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Consolidated" sheetId="1" state="visible" r:id="rId1"/>
    <sheet name="Question Scoring" sheetId="2" state="visible" r:id="rId2"/>
    <sheet name="Draft Master Question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theme="1"/>
      <sz val="11"/>
      <scheme val="minor"/>
    </font>
    <font>
      <b val="1"/>
      <color rgb="00FFFFFF"/>
      <sz val="11"/>
    </font>
    <font>
      <b val="1"/>
      <color rgb="00006B6B"/>
      <sz val="12"/>
    </font>
    <font>
      <b val="1"/>
    </font>
    <font>
      <b val="1"/>
      <color rgb="00FFFFFF"/>
      <sz val="10"/>
    </font>
    <font>
      <b val="1"/>
      <i val="1"/>
    </font>
  </fonts>
  <fills count="7">
    <fill>
      <patternFill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00006B6B"/>
      </patternFill>
    </fill>
    <fill>
      <patternFill patternType="solid">
        <fgColor rgb="00FFFFFF"/>
      </patternFill>
    </fill>
    <fill>
      <patternFill patternType="solid">
        <fgColor rgb="00E6F4F4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left style="thin">
        <color rgb="FFB0C4C4"/>
      </left>
      <right style="thin">
        <color rgb="FFB0C4C4"/>
      </right>
      <top style="thin">
        <color rgb="FFB0C4C4"/>
      </top>
      <bottom style="thin">
        <color rgb="FFB0C4C4"/>
      </bottom>
      <diagonal/>
    </border>
    <border>
      <left style="thin">
        <color rgb="FFB0C4C4"/>
      </left>
      <right style="thin">
        <color rgb="FFB0C4C4"/>
      </right>
      <top/>
      <bottom/>
      <diagonal/>
    </border>
    <border>
      <left style="thin">
        <color rgb="00B0C4C4"/>
      </left>
      <right style="thin">
        <color rgb="00B0C4C4"/>
      </right>
      <top style="thin">
        <color rgb="00B0C4C4"/>
      </top>
      <bottom style="thin">
        <color rgb="00B0C4C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0" borderId="0" applyAlignment="1" pivotButton="0" quotePrefix="1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vertical="top"/>
    </xf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3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3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70" customWidth="1" min="4" max="4"/>
    <col width="20" customWidth="1" min="5" max="5"/>
    <col width="60" customWidth="1" min="6" max="6"/>
    <col width="60" customWidth="1" min="7" max="7"/>
  </cols>
  <sheetData>
    <row r="1" ht="28" customHeight="1">
      <c r="A1" s="10" t="inlineStr">
        <is>
          <t>No.</t>
        </is>
      </c>
      <c r="B1" s="10" t="inlineStr">
        <is>
          <t>Contributor</t>
        </is>
      </c>
      <c r="C1" s="10" t="inlineStr">
        <is>
          <t>Theme</t>
        </is>
      </c>
      <c r="D1" s="10" t="inlineStr">
        <is>
          <t>Question</t>
        </is>
      </c>
      <c r="E1" s="10" t="inlineStr">
        <is>
          <t>Type</t>
        </is>
      </c>
      <c r="F1" s="10" t="inlineStr">
        <is>
          <t>Answer Options</t>
        </is>
      </c>
      <c r="G1" s="10" t="inlineStr">
        <is>
          <t>Notes</t>
        </is>
      </c>
    </row>
    <row r="2" ht="60" customHeight="1">
      <c r="A2" s="11" t="n">
        <v>1</v>
      </c>
      <c r="B2" s="12" t="inlineStr">
        <is>
          <t>Devi Dutta &amp; Fadhli Afiq</t>
        </is>
      </c>
      <c r="C2" s="12" t="inlineStr">
        <is>
          <t>Clarity &amp; Awareness</t>
        </is>
      </c>
      <c r="D2" s="12" t="inlineStr">
        <is>
          <t>How clear is your career development pathway within Gentari for your current role (technical or non-technical)?</t>
        </is>
      </c>
      <c r="E2" s="12" t="inlineStr">
        <is>
          <t>Rating Scale (Likert)</t>
        </is>
      </c>
      <c r="F2" s="12" t="inlineStr">
        <is>
          <t>Very clear | Somewhat clear | Neutral | Somewhat unclear | Very unclear</t>
        </is>
      </c>
      <c r="G2" s="12" t="inlineStr">
        <is>
          <t>Merged from Devi Q1 (open-ended) and Fadhli Q10 (Likert) — same construct; kept the Likert version for consistent scoring.</t>
        </is>
      </c>
    </row>
    <row r="3" ht="60" customHeight="1">
      <c r="A3" s="13" t="n">
        <v>2</v>
      </c>
      <c r="B3" s="14" t="inlineStr">
        <is>
          <t>Devi Dutta</t>
        </is>
      </c>
      <c r="C3" s="14" t="inlineStr">
        <is>
          <t>Clarity &amp; Awareness</t>
        </is>
      </c>
      <c r="D3" s="14" t="inlineStr">
        <is>
          <t>Are you aware of any structured training or development programs available for your growth?</t>
        </is>
      </c>
      <c r="E3" s="14" t="inlineStr">
        <is>
          <t>Open-ended</t>
        </is>
      </c>
      <c r="F3" s="14" t="inlineStr"/>
      <c r="G3" s="14" t="inlineStr"/>
    </row>
    <row r="4" ht="60" customHeight="1">
      <c r="A4" s="11" t="n">
        <v>3</v>
      </c>
      <c r="B4" s="12" t="inlineStr">
        <is>
          <t>Devi Dutta</t>
        </is>
      </c>
      <c r="C4" s="12" t="inlineStr">
        <is>
          <t>Clarity &amp; Awareness</t>
        </is>
      </c>
      <c r="D4" s="12" t="inlineStr">
        <is>
          <t>Do you feel the expectations and criteria for promotion in your role are clearly defined?</t>
        </is>
      </c>
      <c r="E4" s="12" t="inlineStr">
        <is>
          <t>Open-ended</t>
        </is>
      </c>
      <c r="F4" s="12" t="inlineStr"/>
      <c r="G4" s="12" t="inlineStr"/>
    </row>
    <row r="5" ht="60" customHeight="1">
      <c r="A5" s="13" t="n">
        <v>4</v>
      </c>
      <c r="B5" s="14" t="inlineStr">
        <is>
          <t>Devi Dutta &amp; Andrew Ng</t>
        </is>
      </c>
      <c r="C5" s="14" t="inlineStr">
        <is>
          <t>Effectiveness &amp; Adequacy of Development Support</t>
        </is>
      </c>
      <c r="D5" s="14" t="inlineStr">
        <is>
          <t>How would you rate both the accessibility and adequacy of learning and development resources (e.g., training, mentoring, certifications) available to you?</t>
        </is>
      </c>
      <c r="E5" s="14" t="inlineStr">
        <is>
          <t>MCQ (Single-select)</t>
        </is>
      </c>
      <c r="F5" s="14" t="inlineStr">
        <is>
          <t>Very accessible and fully adequate for my needs | Accessible and mostly adequate | Accessible but not adequate (insufficient quality/relevance) | Difficult to access but adequate when available | Difficult to access and not adequate | Not aware of any available resources</t>
        </is>
      </c>
      <c r="G5" s="14" t="inlineStr">
        <is>
          <t>Merged from Devi Q4 (effectiveness of programs), Devi Q5 (adequate support) and Andrew Q17 (accessibility &amp; adequacy) — all three measure the sufficiency of L&amp;D support; kept Andrew's combined MCQ as the most complete framing.</t>
        </is>
      </c>
    </row>
    <row r="6" ht="60" customHeight="1">
      <c r="A6" s="11" t="n">
        <v>5</v>
      </c>
      <c r="B6" s="12" t="inlineStr">
        <is>
          <t>Devi Dutta</t>
        </is>
      </c>
      <c r="C6" s="12" t="inlineStr">
        <is>
          <t>Effectiveness of Existing Programs</t>
        </is>
      </c>
      <c r="D6" s="12" t="inlineStr">
        <is>
          <t>How fairly and consistently are promotion and growth opportunities applied across teams/functions?</t>
        </is>
      </c>
      <c r="E6" s="12" t="inlineStr">
        <is>
          <t>Open-ended</t>
        </is>
      </c>
      <c r="F6" s="12" t="inlineStr"/>
      <c r="G6" s="12" t="inlineStr"/>
    </row>
    <row r="7" ht="60" customHeight="1">
      <c r="A7" s="13" t="n">
        <v>6</v>
      </c>
      <c r="B7" s="14" t="inlineStr">
        <is>
          <t>Devi Dutta &amp; Fadhli Afiq</t>
        </is>
      </c>
      <c r="C7" s="14" t="inlineStr">
        <is>
          <t>Expectations &amp; Improvement Areas</t>
        </is>
      </c>
      <c r="D7" s="14" t="inlineStr">
        <is>
          <t>If Gentari could improve one aspect of career development, which would create the greatest value for you?</t>
        </is>
      </c>
      <c r="E7" s="14" t="inlineStr">
        <is>
          <t>MCQ (Single-select)</t>
        </is>
      </c>
      <c r="F7" s="14" t="inlineStr">
        <is>
          <t>A clear career progression roadmap for my role | A competency framework showing skills required for each career level | Structured learning and certification pathways | Individual development plans with regular career discussions | Mentoring or coaching from experienced colleagues | Greater visibility of internal career opportunities | Other</t>
        </is>
      </c>
      <c r="G7" s="14" t="inlineStr">
        <is>
          <t>Merged from Devi Q7 (open-ended) and Fadhli Q12 (MCQ) — both ask what would help career progression; kept the MCQ for easier analysis.</t>
        </is>
      </c>
    </row>
    <row r="8" ht="60" customHeight="1">
      <c r="A8" s="11" t="n">
        <v>7</v>
      </c>
      <c r="B8" s="12" t="inlineStr">
        <is>
          <t>Devi Dutta</t>
        </is>
      </c>
      <c r="C8" s="12" t="inlineStr">
        <is>
          <t>Expectations &amp; Improvement Areas</t>
        </is>
      </c>
      <c r="D8" s="12" t="inlineStr">
        <is>
          <t>Would you prefer a more clearly defined career path framework (technical vs managerial tracks)?</t>
        </is>
      </c>
      <c r="E8" s="12" t="inlineStr">
        <is>
          <t>Open-ended</t>
        </is>
      </c>
      <c r="F8" s="12" t="inlineStr"/>
      <c r="G8" s="12" t="inlineStr"/>
    </row>
    <row r="9" ht="60" customHeight="1">
      <c r="A9" s="13" t="n">
        <v>8</v>
      </c>
      <c r="B9" s="14" t="inlineStr">
        <is>
          <t>Devi Dutta &amp; Fadhli Afiq</t>
        </is>
      </c>
      <c r="C9" s="14" t="inlineStr">
        <is>
          <t>Career Growth Challenges</t>
        </is>
      </c>
      <c r="D9" s="14" t="inlineStr">
        <is>
          <t>Which of the following best describes the biggest challenge you face in developing your career at Gentari? (Select up to two)</t>
        </is>
      </c>
      <c r="E9" s="14" t="inlineStr">
        <is>
          <t>MCQ (Multi-select)</t>
        </is>
      </c>
      <c r="F9" s="14" t="inlineStr">
        <is>
          <t>I do not know what competencies are required for the next role | I do not know what training or development I should pursue | There is no structured career pathway for my role | Opportunities for technical growth are limited | Opportunities for leadership/non-technical growth are limited | Promotion criteria are unclear | I do not face significant challenges | Other</t>
        </is>
      </c>
      <c r="G9" s="14" t="inlineStr">
        <is>
          <t>Merged from Devi Q9 (open-ended) and Fadhli Q11 (MCQ) — both ask for the biggest career-growth challenge; kept the MCQ for easier analysis.</t>
        </is>
      </c>
    </row>
    <row r="10" ht="60" customHeight="1">
      <c r="A10" s="11" t="n">
        <v>9</v>
      </c>
      <c r="B10" s="12" t="inlineStr">
        <is>
          <t>Ungku M Zulhilmi</t>
        </is>
      </c>
      <c r="C10" s="12" t="inlineStr">
        <is>
          <t>Future-Readiness &amp; Skill Obsolescence</t>
        </is>
      </c>
      <c r="D10" s="12" t="inlineStr">
        <is>
          <t>How confident are you that the development support available within Gentari is keeping your technical skills current with industry trends and emerging technologies in your field?</t>
        </is>
      </c>
      <c r="E10" s="12" t="inlineStr">
        <is>
          <t>Rating Scale (1-5)</t>
        </is>
      </c>
      <c r="F10" s="12" t="inlineStr">
        <is>
          <t>1 - Not at all confident --&gt; 5 - Highly confident</t>
        </is>
      </c>
      <c r="G10" s="12" t="inlineStr">
        <is>
          <t>Type corrected from "Open-ended" to "Rating Scale (1-5)" to match the provided answer scale.</t>
        </is>
      </c>
    </row>
    <row r="11" ht="60" customHeight="1">
      <c r="A11" s="13" t="n">
        <v>10</v>
      </c>
      <c r="B11" s="14" t="inlineStr">
        <is>
          <t>Ungku M Zulhilmi</t>
        </is>
      </c>
      <c r="C11" s="14" t="inlineStr">
        <is>
          <t>Stretch Assignments &amp; Technical Exposure</t>
        </is>
      </c>
      <c r="D11" s="14" t="inlineStr">
        <is>
          <t>How frequently are you given the opportunity to work on projects or assignments outside your immediate scope that stretch your technical capabilities and contribute to your career development?</t>
        </is>
      </c>
      <c r="E11" s="14" t="inlineStr">
        <is>
          <t>MCQ (Single-select)</t>
        </is>
      </c>
      <c r="F11" s="14" t="inlineStr">
        <is>
          <t>Regularly (several times a year or more) | Occasionally (once a year or so) | Rarely (less than once a year) | Never</t>
        </is>
      </c>
      <c r="G11" s="14" t="inlineStr">
        <is>
          <t>Type filled in as MCQ (Single-select) based on the listed options (blank in source).</t>
        </is>
      </c>
    </row>
    <row r="12" ht="60" customHeight="1">
      <c r="A12" s="11" t="n">
        <v>11</v>
      </c>
      <c r="B12" s="12" t="inlineStr">
        <is>
          <t>Ungku M Zulhilmi</t>
        </is>
      </c>
      <c r="C12" s="12" t="inlineStr">
        <is>
          <t>Individual Development Plan (IDP)</t>
        </is>
      </c>
      <c r="D12" s="12" t="inlineStr">
        <is>
          <t>Do you currently have a formal Individual Development Plan (IDP) agreed with your manager that outlines specific actions to support your career growth?</t>
        </is>
      </c>
      <c r="E12" s="12" t="inlineStr">
        <is>
          <t>MCQ (Single-select)</t>
        </is>
      </c>
      <c r="F12" s="12" t="inlineStr">
        <is>
          <t>Yes — and it is actively reviewed and updated regularly | Yes — but it is rarely reviewed or acted upon | I had one before but it is no longer active | No — I do not have a formal IDP</t>
        </is>
      </c>
      <c r="G12" s="12" t="inlineStr">
        <is>
          <t>Type filled in as MCQ (Single-select) based on the listed options (blank in source).</t>
        </is>
      </c>
    </row>
    <row r="13" ht="60" customHeight="1">
      <c r="A13" s="13" t="n">
        <v>12</v>
      </c>
      <c r="B13" s="14" t="inlineStr">
        <is>
          <t>Andrew Ng</t>
        </is>
      </c>
      <c r="C13" s="14" t="inlineStr">
        <is>
          <t>Gauging Severity of the Issue</t>
        </is>
      </c>
      <c r="D13" s="14" t="inlineStr">
        <is>
          <t>To what extent does this challenge impact your motivation and performance at work? (as a follow-up to the biggest-challenge question above)</t>
        </is>
      </c>
      <c r="E13" s="14" t="inlineStr">
        <is>
          <t>MCQ (Single-select)</t>
        </is>
      </c>
      <c r="F13" s="14" t="inlineStr">
        <is>
          <t>No impact | Slight impact | Moderate impact | High impact | Very high impact</t>
        </is>
      </c>
      <c r="G13" s="14" t="inlineStr">
        <is>
          <t>Cross-reference updated: original wording pointed to source Q9/Q11, which are now merged into the "Career Growth Challenges" question above.</t>
        </is>
      </c>
    </row>
    <row r="14" ht="60" customHeight="1">
      <c r="A14" s="11" t="n">
        <v>13</v>
      </c>
      <c r="B14" s="12" t="inlineStr">
        <is>
          <t>Andrew Ng</t>
        </is>
      </c>
      <c r="C14" s="12" t="inlineStr">
        <is>
          <t>Root Cause Perception</t>
        </is>
      </c>
      <c r="D14" s="12" t="inlineStr">
        <is>
          <t>What do you believe is the primary reason for this issue?</t>
        </is>
      </c>
      <c r="E14" s="12" t="inlineStr">
        <is>
          <t>MCQ (Multi-select)</t>
        </is>
      </c>
      <c r="F14" s="12" t="inlineStr">
        <is>
          <t>Lack of structured career framework | Insufficient communication from management | Limited training and development opportunities | Lack of mentorship or guidance | Misalignment between roles and expectations | Other</t>
        </is>
      </c>
      <c r="G14" s="12" t="inlineStr"/>
    </row>
    <row r="15" ht="60" customHeight="1">
      <c r="A15" s="13" t="n">
        <v>14</v>
      </c>
      <c r="B15" s="14" t="inlineStr">
        <is>
          <t>Mark Turner</t>
        </is>
      </c>
      <c r="C15" s="14" t="inlineStr">
        <is>
          <t>Retention</t>
        </is>
      </c>
      <c r="D15" s="14" t="inlineStr">
        <is>
          <t>Do you see yourself still being within the business in the next 12 months?</t>
        </is>
      </c>
      <c r="E15" s="14" t="inlineStr">
        <is>
          <t>Open-ended</t>
        </is>
      </c>
      <c r="F15" s="14" t="inlineStr">
        <is>
          <t>Yes | No — if no, please explain why not</t>
        </is>
      </c>
      <c r="G15" s="14" t="inlineStr"/>
    </row>
    <row r="16" ht="60" customHeight="1">
      <c r="A16" s="11" t="n">
        <v>15</v>
      </c>
      <c r="B16" s="12" t="inlineStr">
        <is>
          <t>Mark Turner</t>
        </is>
      </c>
      <c r="C16" s="12" t="inlineStr">
        <is>
          <t>Development</t>
        </is>
      </c>
      <c r="D16" s="12" t="inlineStr">
        <is>
          <t>From a talent growth and retention perspective, is there anything you would like to tell us that you think would improve the business and/or help you in your career with Gentari?</t>
        </is>
      </c>
      <c r="E16" s="12" t="inlineStr">
        <is>
          <t>Open-ended</t>
        </is>
      </c>
      <c r="F16" s="12" t="inlineStr">
        <is>
          <t>Yes | No — if yes, please provide information below</t>
        </is>
      </c>
      <c r="G16" s="12" t="inlineStr"/>
    </row>
    <row r="17" ht="60" customHeight="1">
      <c r="A17" s="13" t="n">
        <v>16</v>
      </c>
      <c r="B17" s="14" t="inlineStr">
        <is>
          <t>Unattributed</t>
        </is>
      </c>
      <c r="C17" s="14" t="inlineStr">
        <is>
          <t>2030 EBITDA Target Awareness</t>
        </is>
      </c>
      <c r="D17" s="14" t="inlineStr">
        <is>
          <t>How aware are you of Gentari's aspiration to achieve an EBITDA of US$613 million by 2030?</t>
        </is>
      </c>
      <c r="E17" s="14" t="inlineStr">
        <is>
          <t>MCQ (Single-select)</t>
        </is>
      </c>
      <c r="F17" s="14" t="inlineStr">
        <is>
          <t>Very aware | Somewhat aware | Aware but not familiar with the details | Not aware</t>
        </is>
      </c>
      <c r="G17" s="14" t="inlineStr">
        <is>
          <t>No contributor recorded in source. Retained as-is — measures strategic-goal awareness rather than a talent/career-pathing pain point; confirm this is in scope.</t>
        </is>
      </c>
    </row>
    <row r="18" ht="60" customHeight="1">
      <c r="A18" s="11" t="n">
        <v>17</v>
      </c>
      <c r="B18" s="12" t="inlineStr">
        <is>
          <t>Unattributed</t>
        </is>
      </c>
      <c r="C18" s="12" t="inlineStr">
        <is>
          <t>2030 EBITDA Target Awareness</t>
        </is>
      </c>
      <c r="D18" s="12" t="inlineStr">
        <is>
          <t>How well do you understand your role and team's contribution towards achieving the 2030 EBITDA target?</t>
        </is>
      </c>
      <c r="E18" s="12" t="inlineStr">
        <is>
          <t>MCQ (Single-select)</t>
        </is>
      </c>
      <c r="F18" s="12" t="inlineStr">
        <is>
          <t>Very well | Somewhat well | Neutral | Not very well | Not at all</t>
        </is>
      </c>
      <c r="G18" s="12" t="inlineStr">
        <is>
          <t>No contributor recorded in source. Retained as-is — same scope caveat as above.</t>
        </is>
      </c>
    </row>
    <row r="19" ht="60" customHeight="1">
      <c r="A19" s="13" t="n">
        <v>18</v>
      </c>
      <c r="B19" s="14" t="inlineStr">
        <is>
          <t>Unattributed</t>
        </is>
      </c>
      <c r="C19" s="14" t="inlineStr">
        <is>
          <t>2030 EBITDA Target Awareness</t>
        </is>
      </c>
      <c r="D19" s="14" t="inlineStr">
        <is>
          <t>In your opinion, what are the biggest barriers that could prevent Gentari from achieving its 2030 EBITDA target?</t>
        </is>
      </c>
      <c r="E19" s="14" t="inlineStr">
        <is>
          <t>MCQ (Single-select)</t>
        </is>
      </c>
      <c r="F19" s="14" t="inlineStr">
        <is>
          <t>Capability and skills gaps | Talent development and retention | Slow decision-making | Inefficient processes | Lack of cross-functional collaboration | Resource constraints | Market conditions | Other (please specify)</t>
        </is>
      </c>
      <c r="G19" s="14" t="inlineStr">
        <is>
          <t>No contributor recorded in source. Retained as-is — same scope caveat as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5" t="inlineStr">
        <is>
          <t>Relevance scoring legend</t>
        </is>
      </c>
    </row>
    <row r="2">
      <c r="A2" s="16" t="inlineStr">
        <is>
          <t>5</t>
        </is>
      </c>
      <c r="B2" t="inlineStr">
        <is>
          <t>Most relevant — near-duplicate; same construct, likely redundant data</t>
        </is>
      </c>
    </row>
    <row r="3">
      <c r="A3" s="16" t="inlineStr">
        <is>
          <t>4</t>
        </is>
      </c>
      <c r="B3" t="inlineStr">
        <is>
          <t>Relevant — same theme, closely related angle</t>
        </is>
      </c>
    </row>
    <row r="4">
      <c r="A4" s="16" t="inlineStr">
        <is>
          <t>3</t>
        </is>
      </c>
      <c r="B4" t="inlineStr">
        <is>
          <t>Same relevancy — same broad category, distinct angle/sub-topic</t>
        </is>
      </c>
    </row>
    <row r="5">
      <c r="A5" s="16" t="inlineStr">
        <is>
          <t>2</t>
        </is>
      </c>
      <c r="B5" t="inlineStr">
        <is>
          <t>Less relevant — different themes, loosely related</t>
        </is>
      </c>
    </row>
    <row r="6">
      <c r="A6" s="16" t="inlineStr">
        <is>
          <t>1</t>
        </is>
      </c>
      <c r="B6" t="inlineStr">
        <is>
          <t>Very less relevant — essentially unrelated themes/constructs</t>
        </is>
      </c>
    </row>
    <row r="7">
      <c r="A7" s="21" t="inlineStr">
        <is>
          <t>How to read a cell:</t>
        </is>
      </c>
      <c r="B7" s="7" t="inlineStr">
        <is>
          <t>Each cell = "from the ROW question's point of view, how relevant is the COLUMN question" (1-5). Only cells where the row's Q-number is smaller than the column's Q-number were independently judged; the mirrored cell (row Q-number &gt; column Q-number) is a live formula: reverse = 6 - forward.
Sum/Priority: Sum adds up only the independently-judged values touching a question (not a plain row total) so a question's position in the Q1-Q18 list doesn't skew its score. Priority = rank of Sum, descending (1 = most relevant to the rest of the set overall = top priority to review).</t>
        </is>
      </c>
    </row>
    <row r="9">
      <c r="A9" s="15" t="inlineStr">
        <is>
          <t>Question key</t>
        </is>
      </c>
    </row>
    <row r="10">
      <c r="A10" s="17" t="inlineStr">
        <is>
          <t>Q-ID</t>
        </is>
      </c>
      <c r="B10" s="17" t="inlineStr">
        <is>
          <t>Theme</t>
        </is>
      </c>
      <c r="C10" s="17" t="inlineStr">
        <is>
          <t>Question</t>
        </is>
      </c>
    </row>
    <row r="11" ht="60" customHeight="1">
      <c r="A11" s="12" t="inlineStr">
        <is>
          <t>Q1</t>
        </is>
      </c>
      <c r="B11" s="12" t="inlineStr">
        <is>
          <t>Clarity &amp; Awareness</t>
        </is>
      </c>
      <c r="C11" s="12" t="inlineStr">
        <is>
          <t>How clear is your career development pathway within Gentari for your current role (tech...</t>
        </is>
      </c>
    </row>
    <row r="12" ht="60" customHeight="1">
      <c r="A12" s="14" t="inlineStr">
        <is>
          <t>Q2</t>
        </is>
      </c>
      <c r="B12" s="14" t="inlineStr">
        <is>
          <t>Clarity &amp; Awareness</t>
        </is>
      </c>
      <c r="C12" s="14" t="inlineStr">
        <is>
          <t>Are you aware of any structured training or development programs available for your gro...</t>
        </is>
      </c>
    </row>
    <row r="13" ht="60" customHeight="1">
      <c r="A13" s="12" t="inlineStr">
        <is>
          <t>Q3</t>
        </is>
      </c>
      <c r="B13" s="12" t="inlineStr">
        <is>
          <t>Clarity &amp; Awareness</t>
        </is>
      </c>
      <c r="C13" s="12" t="inlineStr">
        <is>
          <t>Do you feel the expectations and criteria for promotion in your role are clearly defined?</t>
        </is>
      </c>
    </row>
    <row r="14" ht="60" customHeight="1">
      <c r="A14" s="14" t="inlineStr">
        <is>
          <t>Q4</t>
        </is>
      </c>
      <c r="B14" s="14" t="inlineStr">
        <is>
          <t>Effectiveness &amp; Adequacy of Development Support</t>
        </is>
      </c>
      <c r="C14" s="14" t="inlineStr">
        <is>
          <t>How would you rate both the accessibility and adequacy of learning and development reso...</t>
        </is>
      </c>
    </row>
    <row r="15" ht="60" customHeight="1">
      <c r="A15" s="12" t="inlineStr">
        <is>
          <t>Q5</t>
        </is>
      </c>
      <c r="B15" s="12" t="inlineStr">
        <is>
          <t>Effectiveness of Existing Programs</t>
        </is>
      </c>
      <c r="C15" s="12" t="inlineStr">
        <is>
          <t>How fairly and consistently are promotion and growth opportunities applied across teams...</t>
        </is>
      </c>
    </row>
    <row r="16" ht="60" customHeight="1">
      <c r="A16" s="14" t="inlineStr">
        <is>
          <t>Q6</t>
        </is>
      </c>
      <c r="B16" s="14" t="inlineStr">
        <is>
          <t>Expectations &amp; Improvement Areas</t>
        </is>
      </c>
      <c r="C16" s="14" t="inlineStr">
        <is>
          <t>If Gentari could improve one aspect of career development, which would create the great...</t>
        </is>
      </c>
    </row>
    <row r="17" ht="60" customHeight="1">
      <c r="A17" s="12" t="inlineStr">
        <is>
          <t>Q7</t>
        </is>
      </c>
      <c r="B17" s="12" t="inlineStr">
        <is>
          <t>Expectations &amp; Improvement Areas</t>
        </is>
      </c>
      <c r="C17" s="12" t="inlineStr">
        <is>
          <t>Would you prefer a more clearly defined career path framework (technical vs managerial ...</t>
        </is>
      </c>
    </row>
    <row r="18" ht="60" customHeight="1">
      <c r="A18" s="14" t="inlineStr">
        <is>
          <t>Q8</t>
        </is>
      </c>
      <c r="B18" s="14" t="inlineStr">
        <is>
          <t>Career Growth Challenges</t>
        </is>
      </c>
      <c r="C18" s="14" t="inlineStr">
        <is>
          <t>Which of the following best describes the biggest challenge you face in developing your...</t>
        </is>
      </c>
    </row>
    <row r="19" ht="60" customHeight="1">
      <c r="A19" s="12" t="inlineStr">
        <is>
          <t>Q9</t>
        </is>
      </c>
      <c r="B19" s="12" t="inlineStr">
        <is>
          <t>Future-Readiness &amp; Skill Obsolescence</t>
        </is>
      </c>
      <c r="C19" s="12" t="inlineStr">
        <is>
          <t>How confident are you that the development support available within Gentari is keeping ...</t>
        </is>
      </c>
    </row>
    <row r="20" ht="60" customHeight="1">
      <c r="A20" s="14" t="inlineStr">
        <is>
          <t>Q10</t>
        </is>
      </c>
      <c r="B20" s="14" t="inlineStr">
        <is>
          <t>Stretch Assignments &amp; Technical Exposure</t>
        </is>
      </c>
      <c r="C20" s="14" t="inlineStr">
        <is>
          <t>How frequently are you given the opportunity to work on projects or assignments outside...</t>
        </is>
      </c>
    </row>
    <row r="21" ht="60" customHeight="1">
      <c r="A21" s="12" t="inlineStr">
        <is>
          <t>Q11</t>
        </is>
      </c>
      <c r="B21" s="12" t="inlineStr">
        <is>
          <t>Individual Development Plan (IDP)</t>
        </is>
      </c>
      <c r="C21" s="12" t="inlineStr">
        <is>
          <t>Do you currently have a formal Individual Development Plan (IDP) agreed with your manag...</t>
        </is>
      </c>
    </row>
    <row r="22" ht="60" customHeight="1">
      <c r="A22" s="14" t="inlineStr">
        <is>
          <t>Q12</t>
        </is>
      </c>
      <c r="B22" s="14" t="inlineStr">
        <is>
          <t>Gauging Severity of the Issue</t>
        </is>
      </c>
      <c r="C22" s="14" t="inlineStr">
        <is>
          <t>To what extent does this challenge impact your motivation and performance at work? (as ...</t>
        </is>
      </c>
    </row>
    <row r="23" ht="60" customHeight="1">
      <c r="A23" s="12" t="inlineStr">
        <is>
          <t>Q13</t>
        </is>
      </c>
      <c r="B23" s="12" t="inlineStr">
        <is>
          <t>Root Cause Perception</t>
        </is>
      </c>
      <c r="C23" s="12" t="inlineStr">
        <is>
          <t>What do you believe is the primary reason for this issue?</t>
        </is>
      </c>
    </row>
    <row r="24" ht="60" customHeight="1">
      <c r="A24" s="14" t="inlineStr">
        <is>
          <t>Q14</t>
        </is>
      </c>
      <c r="B24" s="14" t="inlineStr">
        <is>
          <t>Retention</t>
        </is>
      </c>
      <c r="C24" s="14" t="inlineStr">
        <is>
          <t>Do you see yourself still being within the business in the next 12 months?</t>
        </is>
      </c>
    </row>
    <row r="25" ht="60" customHeight="1">
      <c r="A25" s="12" t="inlineStr">
        <is>
          <t>Q15</t>
        </is>
      </c>
      <c r="B25" s="12" t="inlineStr">
        <is>
          <t>Development</t>
        </is>
      </c>
      <c r="C25" s="12" t="inlineStr">
        <is>
          <t>From a talent growth and retention perspective, is there anything you would like to tel...</t>
        </is>
      </c>
    </row>
    <row r="26" ht="60" customHeight="1">
      <c r="A26" s="14" t="inlineStr">
        <is>
          <t>Q16</t>
        </is>
      </c>
      <c r="B26" s="14" t="inlineStr">
        <is>
          <t>2030 EBITDA Target Awareness</t>
        </is>
      </c>
      <c r="C26" s="14" t="inlineStr">
        <is>
          <t>How aware are you of Gentari's aspiration to achieve an EBITDA of US$613 million by 2030?</t>
        </is>
      </c>
    </row>
    <row r="27" ht="60" customHeight="1">
      <c r="A27" s="12" t="inlineStr">
        <is>
          <t>Q17</t>
        </is>
      </c>
      <c r="B27" s="12" t="inlineStr">
        <is>
          <t>2030 EBITDA Target Awareness</t>
        </is>
      </c>
      <c r="C27" s="12" t="inlineStr">
        <is>
          <t>How well do you understand your role and team's contribution towards achieving the 2030...</t>
        </is>
      </c>
    </row>
    <row r="28" ht="60" customHeight="1">
      <c r="A28" s="14" t="inlineStr">
        <is>
          <t>Q18</t>
        </is>
      </c>
      <c r="B28" s="14" t="inlineStr">
        <is>
          <t>2030 EBITDA Target Awareness</t>
        </is>
      </c>
      <c r="C28" s="14" t="inlineStr">
        <is>
          <t>In your opinion, what are the biggest barriers that could prevent Gentari from achievin...</t>
        </is>
      </c>
    </row>
    <row r="30">
      <c r="A30" s="15" t="inlineStr">
        <is>
          <t>Directional relevance matrix (1-5): row -&gt; column</t>
        </is>
      </c>
    </row>
    <row r="31">
      <c r="A31" s="17" t="inlineStr"/>
      <c r="B31" s="17" t="inlineStr">
        <is>
          <t>Q1</t>
        </is>
      </c>
      <c r="C31" s="17" t="inlineStr">
        <is>
          <t>Q2</t>
        </is>
      </c>
      <c r="D31" s="17" t="inlineStr">
        <is>
          <t>Q3</t>
        </is>
      </c>
      <c r="E31" s="17" t="inlineStr">
        <is>
          <t>Q4</t>
        </is>
      </c>
      <c r="F31" s="17" t="inlineStr">
        <is>
          <t>Q5</t>
        </is>
      </c>
      <c r="G31" s="17" t="inlineStr">
        <is>
          <t>Q6</t>
        </is>
      </c>
      <c r="H31" s="17" t="inlineStr">
        <is>
          <t>Q7</t>
        </is>
      </c>
      <c r="I31" s="17" t="inlineStr">
        <is>
          <t>Q8</t>
        </is>
      </c>
      <c r="J31" s="17" t="inlineStr">
        <is>
          <t>Q9</t>
        </is>
      </c>
      <c r="K31" s="17" t="inlineStr">
        <is>
          <t>Q10</t>
        </is>
      </c>
      <c r="L31" s="17" t="inlineStr">
        <is>
          <t>Q11</t>
        </is>
      </c>
      <c r="M31" s="17" t="inlineStr">
        <is>
          <t>Q12</t>
        </is>
      </c>
      <c r="N31" s="17" t="inlineStr">
        <is>
          <t>Q13</t>
        </is>
      </c>
      <c r="O31" s="17" t="inlineStr">
        <is>
          <t>Q14</t>
        </is>
      </c>
      <c r="P31" s="17" t="inlineStr">
        <is>
          <t>Q15</t>
        </is>
      </c>
      <c r="Q31" s="17" t="inlineStr">
        <is>
          <t>Q16</t>
        </is>
      </c>
      <c r="R31" s="17" t="inlineStr">
        <is>
          <t>Q17</t>
        </is>
      </c>
      <c r="S31" s="17" t="inlineStr">
        <is>
          <t>Q18</t>
        </is>
      </c>
      <c r="T31" s="17" t="inlineStr">
        <is>
          <t>Sum</t>
        </is>
      </c>
      <c r="U31" s="17" t="inlineStr">
        <is>
          <t>Priority</t>
        </is>
      </c>
    </row>
    <row r="32">
      <c r="A32" s="17" t="inlineStr">
        <is>
          <t>Q1</t>
        </is>
      </c>
      <c r="B32" s="18" t="inlineStr">
        <is>
          <t>—</t>
        </is>
      </c>
      <c r="C32" s="19" t="n">
        <v>3</v>
      </c>
      <c r="D32" s="19" t="n">
        <v>4</v>
      </c>
      <c r="E32" s="19" t="n">
        <v>2</v>
      </c>
      <c r="F32" s="19" t="n">
        <v>3</v>
      </c>
      <c r="G32" s="19" t="n">
        <v>2</v>
      </c>
      <c r="H32" s="19" t="n">
        <v>5</v>
      </c>
      <c r="I32" s="19" t="n">
        <v>2</v>
      </c>
      <c r="J32" s="19" t="n">
        <v>2</v>
      </c>
      <c r="K32" s="19" t="n">
        <v>1</v>
      </c>
      <c r="L32" s="19" t="n">
        <v>3</v>
      </c>
      <c r="M32" s="19" t="n">
        <v>1</v>
      </c>
      <c r="N32" s="19" t="n">
        <v>1</v>
      </c>
      <c r="O32" s="19" t="n">
        <v>1</v>
      </c>
      <c r="P32" s="19" t="n">
        <v>2</v>
      </c>
      <c r="Q32" s="19" t="n">
        <v>1</v>
      </c>
      <c r="R32" s="19" t="n">
        <v>1</v>
      </c>
      <c r="S32" s="19" t="n">
        <v>1</v>
      </c>
      <c r="T32" s="20">
        <f>SUM(C32:S32)</f>
        <v/>
      </c>
      <c r="U32" s="20">
        <f>RANK(T32,T32:T49,0)</f>
        <v/>
      </c>
    </row>
    <row r="33">
      <c r="A33" s="17" t="inlineStr">
        <is>
          <t>Q2</t>
        </is>
      </c>
      <c r="B33" s="19">
        <f>6-C32</f>
        <v/>
      </c>
      <c r="C33" s="18" t="inlineStr">
        <is>
          <t>—</t>
        </is>
      </c>
      <c r="D33" s="19" t="n">
        <v>3</v>
      </c>
      <c r="E33" s="19" t="n">
        <v>4</v>
      </c>
      <c r="F33" s="19" t="n">
        <v>2</v>
      </c>
      <c r="G33" s="19" t="n">
        <v>2</v>
      </c>
      <c r="H33" s="19" t="n">
        <v>1</v>
      </c>
      <c r="I33" s="19" t="n">
        <v>3</v>
      </c>
      <c r="J33" s="19" t="n">
        <v>2</v>
      </c>
      <c r="K33" s="19" t="n">
        <v>1</v>
      </c>
      <c r="L33" s="19" t="n">
        <v>3</v>
      </c>
      <c r="M33" s="19" t="n">
        <v>1</v>
      </c>
      <c r="N33" s="19" t="n">
        <v>1</v>
      </c>
      <c r="O33" s="19" t="n">
        <v>1</v>
      </c>
      <c r="P33" s="19" t="n">
        <v>2</v>
      </c>
      <c r="Q33" s="19" t="n">
        <v>1</v>
      </c>
      <c r="R33" s="19" t="n">
        <v>1</v>
      </c>
      <c r="S33" s="19" t="n">
        <v>1</v>
      </c>
      <c r="T33" s="20">
        <f>SUM(D33:S33)+SUM(C32:C32)</f>
        <v/>
      </c>
      <c r="U33" s="20">
        <f>RANK(T33,T32:T49,0)</f>
        <v/>
      </c>
    </row>
    <row r="34">
      <c r="A34" s="17" t="inlineStr">
        <is>
          <t>Q3</t>
        </is>
      </c>
      <c r="B34" s="19">
        <f>6-D32</f>
        <v/>
      </c>
      <c r="C34" s="19">
        <f>6-D33</f>
        <v/>
      </c>
      <c r="D34" s="18" t="inlineStr">
        <is>
          <t>—</t>
        </is>
      </c>
      <c r="E34" s="19" t="n">
        <v>2</v>
      </c>
      <c r="F34" s="19" t="n">
        <v>5</v>
      </c>
      <c r="G34" s="19" t="n">
        <v>2</v>
      </c>
      <c r="H34" s="19" t="n">
        <v>4</v>
      </c>
      <c r="I34" s="19" t="n">
        <v>4</v>
      </c>
      <c r="J34" s="19" t="n">
        <v>1</v>
      </c>
      <c r="K34" s="19" t="n">
        <v>1</v>
      </c>
      <c r="L34" s="19" t="n">
        <v>2</v>
      </c>
      <c r="M34" s="19" t="n">
        <v>1</v>
      </c>
      <c r="N34" s="19" t="n">
        <v>1</v>
      </c>
      <c r="O34" s="19" t="n">
        <v>1</v>
      </c>
      <c r="P34" s="19" t="n">
        <v>2</v>
      </c>
      <c r="Q34" s="19" t="n">
        <v>1</v>
      </c>
      <c r="R34" s="19" t="n">
        <v>1</v>
      </c>
      <c r="S34" s="19" t="n">
        <v>1</v>
      </c>
      <c r="T34" s="20">
        <f>SUM(E34:S34)+SUM(D32:D33)</f>
        <v/>
      </c>
      <c r="U34" s="20">
        <f>RANK(T34,T32:T49,0)</f>
        <v/>
      </c>
    </row>
    <row r="35">
      <c r="A35" s="17" t="inlineStr">
        <is>
          <t>Q4</t>
        </is>
      </c>
      <c r="B35" s="19">
        <f>6-E32</f>
        <v/>
      </c>
      <c r="C35" s="19">
        <f>6-E33</f>
        <v/>
      </c>
      <c r="D35" s="19">
        <f>6-E34</f>
        <v/>
      </c>
      <c r="E35" s="18" t="inlineStr">
        <is>
          <t>—</t>
        </is>
      </c>
      <c r="F35" s="19" t="n">
        <v>2</v>
      </c>
      <c r="G35" s="19" t="n">
        <v>3</v>
      </c>
      <c r="H35" s="19" t="n">
        <v>1</v>
      </c>
      <c r="I35" s="19" t="n">
        <v>3</v>
      </c>
      <c r="J35" s="19" t="n">
        <v>4</v>
      </c>
      <c r="K35" s="19" t="n">
        <v>3</v>
      </c>
      <c r="L35" s="19" t="n">
        <v>3</v>
      </c>
      <c r="M35" s="19" t="n">
        <v>1</v>
      </c>
      <c r="N35" s="19" t="n">
        <v>3</v>
      </c>
      <c r="O35" s="19" t="n">
        <v>1</v>
      </c>
      <c r="P35" s="19" t="n">
        <v>2</v>
      </c>
      <c r="Q35" s="19" t="n">
        <v>1</v>
      </c>
      <c r="R35" s="19" t="n">
        <v>1</v>
      </c>
      <c r="S35" s="19" t="n">
        <v>1</v>
      </c>
      <c r="T35" s="20">
        <f>SUM(F35:S35)+SUM(E32:E34)</f>
        <v/>
      </c>
      <c r="U35" s="20">
        <f>RANK(T35,T32:T49,0)</f>
        <v/>
      </c>
    </row>
    <row r="36">
      <c r="A36" s="17" t="inlineStr">
        <is>
          <t>Q5</t>
        </is>
      </c>
      <c r="B36" s="19">
        <f>6-F32</f>
        <v/>
      </c>
      <c r="C36" s="19">
        <f>6-F33</f>
        <v/>
      </c>
      <c r="D36" s="19">
        <f>6-F34</f>
        <v/>
      </c>
      <c r="E36" s="19">
        <f>6-F35</f>
        <v/>
      </c>
      <c r="F36" s="18" t="inlineStr">
        <is>
          <t>—</t>
        </is>
      </c>
      <c r="G36" s="19" t="n">
        <v>2</v>
      </c>
      <c r="H36" s="19" t="n">
        <v>3</v>
      </c>
      <c r="I36" s="19" t="n">
        <v>3</v>
      </c>
      <c r="J36" s="19" t="n">
        <v>1</v>
      </c>
      <c r="K36" s="19" t="n">
        <v>1</v>
      </c>
      <c r="L36" s="19" t="n">
        <v>1</v>
      </c>
      <c r="M36" s="19" t="n">
        <v>1</v>
      </c>
      <c r="N36" s="19" t="n">
        <v>2</v>
      </c>
      <c r="O36" s="19" t="n">
        <v>1</v>
      </c>
      <c r="P36" s="19" t="n">
        <v>2</v>
      </c>
      <c r="Q36" s="19" t="n">
        <v>1</v>
      </c>
      <c r="R36" s="19" t="n">
        <v>1</v>
      </c>
      <c r="S36" s="19" t="n">
        <v>1</v>
      </c>
      <c r="T36" s="20">
        <f>SUM(G36:S36)+SUM(F32:F35)</f>
        <v/>
      </c>
      <c r="U36" s="20">
        <f>RANK(T36,T32:T49,0)</f>
        <v/>
      </c>
    </row>
    <row r="37">
      <c r="A37" s="17" t="inlineStr">
        <is>
          <t>Q6</t>
        </is>
      </c>
      <c r="B37" s="19">
        <f>6-G32</f>
        <v/>
      </c>
      <c r="C37" s="19">
        <f>6-G33</f>
        <v/>
      </c>
      <c r="D37" s="19">
        <f>6-G34</f>
        <v/>
      </c>
      <c r="E37" s="19">
        <f>6-G35</f>
        <v/>
      </c>
      <c r="F37" s="19">
        <f>6-G36</f>
        <v/>
      </c>
      <c r="G37" s="18" t="inlineStr">
        <is>
          <t>—</t>
        </is>
      </c>
      <c r="H37" s="19" t="n">
        <v>3</v>
      </c>
      <c r="I37" s="19" t="n">
        <v>5</v>
      </c>
      <c r="J37" s="19" t="n">
        <v>2</v>
      </c>
      <c r="K37" s="19" t="n">
        <v>2</v>
      </c>
      <c r="L37" s="19" t="n">
        <v>3</v>
      </c>
      <c r="M37" s="19" t="n">
        <v>2</v>
      </c>
      <c r="N37" s="19" t="n">
        <v>3</v>
      </c>
      <c r="O37" s="19" t="n">
        <v>1</v>
      </c>
      <c r="P37" s="19" t="n">
        <v>4</v>
      </c>
      <c r="Q37" s="19" t="n">
        <v>1</v>
      </c>
      <c r="R37" s="19" t="n">
        <v>1</v>
      </c>
      <c r="S37" s="19" t="n">
        <v>1</v>
      </c>
      <c r="T37" s="20">
        <f>SUM(H37:S37)+SUM(G32:G36)</f>
        <v/>
      </c>
      <c r="U37" s="20">
        <f>RANK(T37,T32:T49,0)</f>
        <v/>
      </c>
    </row>
    <row r="38">
      <c r="A38" s="17" t="inlineStr">
        <is>
          <t>Q7</t>
        </is>
      </c>
      <c r="B38" s="19">
        <f>6-H32</f>
        <v/>
      </c>
      <c r="C38" s="19">
        <f>6-H33</f>
        <v/>
      </c>
      <c r="D38" s="19">
        <f>6-H34</f>
        <v/>
      </c>
      <c r="E38" s="19">
        <f>6-H35</f>
        <v/>
      </c>
      <c r="F38" s="19">
        <f>6-H36</f>
        <v/>
      </c>
      <c r="G38" s="19">
        <f>6-H37</f>
        <v/>
      </c>
      <c r="H38" s="18" t="inlineStr">
        <is>
          <t>—</t>
        </is>
      </c>
      <c r="I38" s="19" t="n">
        <v>2</v>
      </c>
      <c r="J38" s="19" t="n">
        <v>1</v>
      </c>
      <c r="K38" s="19" t="n">
        <v>1</v>
      </c>
      <c r="L38" s="19" t="n">
        <v>2</v>
      </c>
      <c r="M38" s="19" t="n">
        <v>1</v>
      </c>
      <c r="N38" s="19" t="n">
        <v>3</v>
      </c>
      <c r="O38" s="19" t="n">
        <v>1</v>
      </c>
      <c r="P38" s="19" t="n">
        <v>2</v>
      </c>
      <c r="Q38" s="19" t="n">
        <v>1</v>
      </c>
      <c r="R38" s="19" t="n">
        <v>1</v>
      </c>
      <c r="S38" s="19" t="n">
        <v>1</v>
      </c>
      <c r="T38" s="20">
        <f>SUM(I38:S38)+SUM(H32:H37)</f>
        <v/>
      </c>
      <c r="U38" s="20">
        <f>RANK(T38,T32:T49,0)</f>
        <v/>
      </c>
    </row>
    <row r="39">
      <c r="A39" s="17" t="inlineStr">
        <is>
          <t>Q8</t>
        </is>
      </c>
      <c r="B39" s="19">
        <f>6-I32</f>
        <v/>
      </c>
      <c r="C39" s="19">
        <f>6-I33</f>
        <v/>
      </c>
      <c r="D39" s="19">
        <f>6-I34</f>
        <v/>
      </c>
      <c r="E39" s="19">
        <f>6-I35</f>
        <v/>
      </c>
      <c r="F39" s="19">
        <f>6-I36</f>
        <v/>
      </c>
      <c r="G39" s="19">
        <f>6-I37</f>
        <v/>
      </c>
      <c r="H39" s="19">
        <f>6-I38</f>
        <v/>
      </c>
      <c r="I39" s="18" t="inlineStr">
        <is>
          <t>—</t>
        </is>
      </c>
      <c r="J39" s="19" t="n">
        <v>2</v>
      </c>
      <c r="K39" s="19" t="n">
        <v>2</v>
      </c>
      <c r="L39" s="19" t="n">
        <v>2</v>
      </c>
      <c r="M39" s="19" t="n">
        <v>5</v>
      </c>
      <c r="N39" s="19" t="n">
        <v>4</v>
      </c>
      <c r="O39" s="19" t="n">
        <v>1</v>
      </c>
      <c r="P39" s="19" t="n">
        <v>3</v>
      </c>
      <c r="Q39" s="19" t="n">
        <v>1</v>
      </c>
      <c r="R39" s="19" t="n">
        <v>1</v>
      </c>
      <c r="S39" s="19" t="n">
        <v>1</v>
      </c>
      <c r="T39" s="20">
        <f>SUM(J39:S39)+SUM(I32:I38)</f>
        <v/>
      </c>
      <c r="U39" s="20">
        <f>RANK(T39,T32:T49,0)</f>
        <v/>
      </c>
    </row>
    <row r="40">
      <c r="A40" s="17" t="inlineStr">
        <is>
          <t>Q9</t>
        </is>
      </c>
      <c r="B40" s="19">
        <f>6-J32</f>
        <v/>
      </c>
      <c r="C40" s="19">
        <f>6-J33</f>
        <v/>
      </c>
      <c r="D40" s="19">
        <f>6-J34</f>
        <v/>
      </c>
      <c r="E40" s="19">
        <f>6-J35</f>
        <v/>
      </c>
      <c r="F40" s="19">
        <f>6-J36</f>
        <v/>
      </c>
      <c r="G40" s="19">
        <f>6-J37</f>
        <v/>
      </c>
      <c r="H40" s="19">
        <f>6-J38</f>
        <v/>
      </c>
      <c r="I40" s="19">
        <f>6-J39</f>
        <v/>
      </c>
      <c r="J40" s="18" t="inlineStr">
        <is>
          <t>—</t>
        </is>
      </c>
      <c r="K40" s="19" t="n">
        <v>4</v>
      </c>
      <c r="L40" s="19" t="n">
        <v>3</v>
      </c>
      <c r="M40" s="19" t="n">
        <v>1</v>
      </c>
      <c r="N40" s="19" t="n">
        <v>2</v>
      </c>
      <c r="O40" s="19" t="n">
        <v>1</v>
      </c>
      <c r="P40" s="19" t="n">
        <v>1</v>
      </c>
      <c r="Q40" s="19" t="n">
        <v>1</v>
      </c>
      <c r="R40" s="19" t="n">
        <v>1</v>
      </c>
      <c r="S40" s="19" t="n">
        <v>1</v>
      </c>
      <c r="T40" s="20">
        <f>SUM(K40:S40)+SUM(J32:J39)</f>
        <v/>
      </c>
      <c r="U40" s="20">
        <f>RANK(T40,T32:T49,0)</f>
        <v/>
      </c>
    </row>
    <row r="41">
      <c r="A41" s="17" t="inlineStr">
        <is>
          <t>Q10</t>
        </is>
      </c>
      <c r="B41" s="19">
        <f>6-K32</f>
        <v/>
      </c>
      <c r="C41" s="19">
        <f>6-K33</f>
        <v/>
      </c>
      <c r="D41" s="19">
        <f>6-K34</f>
        <v/>
      </c>
      <c r="E41" s="19">
        <f>6-K35</f>
        <v/>
      </c>
      <c r="F41" s="19">
        <f>6-K36</f>
        <v/>
      </c>
      <c r="G41" s="19">
        <f>6-K37</f>
        <v/>
      </c>
      <c r="H41" s="19">
        <f>6-K38</f>
        <v/>
      </c>
      <c r="I41" s="19">
        <f>6-K39</f>
        <v/>
      </c>
      <c r="J41" s="19">
        <f>6-K40</f>
        <v/>
      </c>
      <c r="K41" s="18" t="inlineStr">
        <is>
          <t>—</t>
        </is>
      </c>
      <c r="L41" s="19" t="n">
        <v>3</v>
      </c>
      <c r="M41" s="19" t="n">
        <v>1</v>
      </c>
      <c r="N41" s="19" t="n">
        <v>1</v>
      </c>
      <c r="O41" s="19" t="n">
        <v>1</v>
      </c>
      <c r="P41" s="19" t="n">
        <v>1</v>
      </c>
      <c r="Q41" s="19" t="n">
        <v>1</v>
      </c>
      <c r="R41" s="19" t="n">
        <v>1</v>
      </c>
      <c r="S41" s="19" t="n">
        <v>1</v>
      </c>
      <c r="T41" s="20">
        <f>SUM(L41:S41)+SUM(K32:K40)</f>
        <v/>
      </c>
      <c r="U41" s="20">
        <f>RANK(T41,T32:T49,0)</f>
        <v/>
      </c>
    </row>
    <row r="42">
      <c r="A42" s="17" t="inlineStr">
        <is>
          <t>Q11</t>
        </is>
      </c>
      <c r="B42" s="19">
        <f>6-L32</f>
        <v/>
      </c>
      <c r="C42" s="19">
        <f>6-L33</f>
        <v/>
      </c>
      <c r="D42" s="19">
        <f>6-L34</f>
        <v/>
      </c>
      <c r="E42" s="19">
        <f>6-L35</f>
        <v/>
      </c>
      <c r="F42" s="19">
        <f>6-L36</f>
        <v/>
      </c>
      <c r="G42" s="19">
        <f>6-L37</f>
        <v/>
      </c>
      <c r="H42" s="19">
        <f>6-L38</f>
        <v/>
      </c>
      <c r="I42" s="19">
        <f>6-L39</f>
        <v/>
      </c>
      <c r="J42" s="19">
        <f>6-L40</f>
        <v/>
      </c>
      <c r="K42" s="19">
        <f>6-L41</f>
        <v/>
      </c>
      <c r="L42" s="18" t="inlineStr">
        <is>
          <t>—</t>
        </is>
      </c>
      <c r="M42" s="19" t="n">
        <v>1</v>
      </c>
      <c r="N42" s="19" t="n">
        <v>1</v>
      </c>
      <c r="O42" s="19" t="n">
        <v>1</v>
      </c>
      <c r="P42" s="19" t="n">
        <v>2</v>
      </c>
      <c r="Q42" s="19" t="n">
        <v>1</v>
      </c>
      <c r="R42" s="19" t="n">
        <v>1</v>
      </c>
      <c r="S42" s="19" t="n">
        <v>1</v>
      </c>
      <c r="T42" s="20">
        <f>SUM(M42:S42)+SUM(L32:L41)</f>
        <v/>
      </c>
      <c r="U42" s="20">
        <f>RANK(T42,T32:T49,0)</f>
        <v/>
      </c>
    </row>
    <row r="43">
      <c r="A43" s="17" t="inlineStr">
        <is>
          <t>Q12</t>
        </is>
      </c>
      <c r="B43" s="19">
        <f>6-M32</f>
        <v/>
      </c>
      <c r="C43" s="19">
        <f>6-M33</f>
        <v/>
      </c>
      <c r="D43" s="19">
        <f>6-M34</f>
        <v/>
      </c>
      <c r="E43" s="19">
        <f>6-M35</f>
        <v/>
      </c>
      <c r="F43" s="19">
        <f>6-M36</f>
        <v/>
      </c>
      <c r="G43" s="19">
        <f>6-M37</f>
        <v/>
      </c>
      <c r="H43" s="19">
        <f>6-M38</f>
        <v/>
      </c>
      <c r="I43" s="19">
        <f>6-M39</f>
        <v/>
      </c>
      <c r="J43" s="19">
        <f>6-M40</f>
        <v/>
      </c>
      <c r="K43" s="19">
        <f>6-M41</f>
        <v/>
      </c>
      <c r="L43" s="19">
        <f>6-M42</f>
        <v/>
      </c>
      <c r="M43" s="18" t="inlineStr">
        <is>
          <t>—</t>
        </is>
      </c>
      <c r="N43" s="19" t="n">
        <v>4</v>
      </c>
      <c r="O43" s="19" t="n">
        <v>1</v>
      </c>
      <c r="P43" s="19" t="n">
        <v>2</v>
      </c>
      <c r="Q43" s="19" t="n">
        <v>1</v>
      </c>
      <c r="R43" s="19" t="n">
        <v>1</v>
      </c>
      <c r="S43" s="19" t="n">
        <v>1</v>
      </c>
      <c r="T43" s="20">
        <f>SUM(N43:S43)+SUM(M32:M42)</f>
        <v/>
      </c>
      <c r="U43" s="20">
        <f>RANK(T43,T32:T49,0)</f>
        <v/>
      </c>
    </row>
    <row r="44">
      <c r="A44" s="17" t="inlineStr">
        <is>
          <t>Q13</t>
        </is>
      </c>
      <c r="B44" s="19">
        <f>6-N32</f>
        <v/>
      </c>
      <c r="C44" s="19">
        <f>6-N33</f>
        <v/>
      </c>
      <c r="D44" s="19">
        <f>6-N34</f>
        <v/>
      </c>
      <c r="E44" s="19">
        <f>6-N35</f>
        <v/>
      </c>
      <c r="F44" s="19">
        <f>6-N36</f>
        <v/>
      </c>
      <c r="G44" s="19">
        <f>6-N37</f>
        <v/>
      </c>
      <c r="H44" s="19">
        <f>6-N38</f>
        <v/>
      </c>
      <c r="I44" s="19">
        <f>6-N39</f>
        <v/>
      </c>
      <c r="J44" s="19">
        <f>6-N40</f>
        <v/>
      </c>
      <c r="K44" s="19">
        <f>6-N41</f>
        <v/>
      </c>
      <c r="L44" s="19">
        <f>6-N42</f>
        <v/>
      </c>
      <c r="M44" s="19">
        <f>6-N43</f>
        <v/>
      </c>
      <c r="N44" s="18" t="inlineStr">
        <is>
          <t>—</t>
        </is>
      </c>
      <c r="O44" s="19" t="n">
        <v>1</v>
      </c>
      <c r="P44" s="19" t="n">
        <v>2</v>
      </c>
      <c r="Q44" s="19" t="n">
        <v>1</v>
      </c>
      <c r="R44" s="19" t="n">
        <v>1</v>
      </c>
      <c r="S44" s="19" t="n">
        <v>1</v>
      </c>
      <c r="T44" s="20">
        <f>SUM(O44:S44)+SUM(N32:N43)</f>
        <v/>
      </c>
      <c r="U44" s="20">
        <f>RANK(T44,T32:T49,0)</f>
        <v/>
      </c>
    </row>
    <row r="45">
      <c r="A45" s="17" t="inlineStr">
        <is>
          <t>Q14</t>
        </is>
      </c>
      <c r="B45" s="19">
        <f>6-O32</f>
        <v/>
      </c>
      <c r="C45" s="19">
        <f>6-O33</f>
        <v/>
      </c>
      <c r="D45" s="19">
        <f>6-O34</f>
        <v/>
      </c>
      <c r="E45" s="19">
        <f>6-O35</f>
        <v/>
      </c>
      <c r="F45" s="19">
        <f>6-O36</f>
        <v/>
      </c>
      <c r="G45" s="19">
        <f>6-O37</f>
        <v/>
      </c>
      <c r="H45" s="19">
        <f>6-O38</f>
        <v/>
      </c>
      <c r="I45" s="19">
        <f>6-O39</f>
        <v/>
      </c>
      <c r="J45" s="19">
        <f>6-O40</f>
        <v/>
      </c>
      <c r="K45" s="19">
        <f>6-O41</f>
        <v/>
      </c>
      <c r="L45" s="19">
        <f>6-O42</f>
        <v/>
      </c>
      <c r="M45" s="19">
        <f>6-O43</f>
        <v/>
      </c>
      <c r="N45" s="19">
        <f>6-O44</f>
        <v/>
      </c>
      <c r="O45" s="18" t="inlineStr">
        <is>
          <t>—</t>
        </is>
      </c>
      <c r="P45" s="19" t="n">
        <v>4</v>
      </c>
      <c r="Q45" s="19" t="n">
        <v>1</v>
      </c>
      <c r="R45" s="19" t="n">
        <v>1</v>
      </c>
      <c r="S45" s="19" t="n">
        <v>1</v>
      </c>
      <c r="T45" s="20">
        <f>SUM(P45:S45)+SUM(O32:O44)</f>
        <v/>
      </c>
      <c r="U45" s="20">
        <f>RANK(T45,T32:T49,0)</f>
        <v/>
      </c>
    </row>
    <row r="46">
      <c r="A46" s="17" t="inlineStr">
        <is>
          <t>Q15</t>
        </is>
      </c>
      <c r="B46" s="19">
        <f>6-P32</f>
        <v/>
      </c>
      <c r="C46" s="19">
        <f>6-P33</f>
        <v/>
      </c>
      <c r="D46" s="19">
        <f>6-P34</f>
        <v/>
      </c>
      <c r="E46" s="19">
        <f>6-P35</f>
        <v/>
      </c>
      <c r="F46" s="19">
        <f>6-P36</f>
        <v/>
      </c>
      <c r="G46" s="19">
        <f>6-P37</f>
        <v/>
      </c>
      <c r="H46" s="19">
        <f>6-P38</f>
        <v/>
      </c>
      <c r="I46" s="19">
        <f>6-P39</f>
        <v/>
      </c>
      <c r="J46" s="19">
        <f>6-P40</f>
        <v/>
      </c>
      <c r="K46" s="19">
        <f>6-P41</f>
        <v/>
      </c>
      <c r="L46" s="19">
        <f>6-P42</f>
        <v/>
      </c>
      <c r="M46" s="19">
        <f>6-P43</f>
        <v/>
      </c>
      <c r="N46" s="19">
        <f>6-P44</f>
        <v/>
      </c>
      <c r="O46" s="19">
        <f>6-P45</f>
        <v/>
      </c>
      <c r="P46" s="18" t="inlineStr">
        <is>
          <t>—</t>
        </is>
      </c>
      <c r="Q46" s="19" t="n">
        <v>2</v>
      </c>
      <c r="R46" s="19" t="n">
        <v>2</v>
      </c>
      <c r="S46" s="19" t="n">
        <v>3</v>
      </c>
      <c r="T46" s="20">
        <f>SUM(Q46:S46)+SUM(P32:P45)</f>
        <v/>
      </c>
      <c r="U46" s="20">
        <f>RANK(T46,T32:T49,0)</f>
        <v/>
      </c>
    </row>
    <row r="47">
      <c r="A47" s="17" t="inlineStr">
        <is>
          <t>Q16</t>
        </is>
      </c>
      <c r="B47" s="19">
        <f>6-Q32</f>
        <v/>
      </c>
      <c r="C47" s="19">
        <f>6-Q33</f>
        <v/>
      </c>
      <c r="D47" s="19">
        <f>6-Q34</f>
        <v/>
      </c>
      <c r="E47" s="19">
        <f>6-Q35</f>
        <v/>
      </c>
      <c r="F47" s="19">
        <f>6-Q36</f>
        <v/>
      </c>
      <c r="G47" s="19">
        <f>6-Q37</f>
        <v/>
      </c>
      <c r="H47" s="19">
        <f>6-Q38</f>
        <v/>
      </c>
      <c r="I47" s="19">
        <f>6-Q39</f>
        <v/>
      </c>
      <c r="J47" s="19">
        <f>6-Q40</f>
        <v/>
      </c>
      <c r="K47" s="19">
        <f>6-Q41</f>
        <v/>
      </c>
      <c r="L47" s="19">
        <f>6-Q42</f>
        <v/>
      </c>
      <c r="M47" s="19">
        <f>6-Q43</f>
        <v/>
      </c>
      <c r="N47" s="19">
        <f>6-Q44</f>
        <v/>
      </c>
      <c r="O47" s="19">
        <f>6-Q45</f>
        <v/>
      </c>
      <c r="P47" s="19">
        <f>6-Q46</f>
        <v/>
      </c>
      <c r="Q47" s="18" t="inlineStr">
        <is>
          <t>—</t>
        </is>
      </c>
      <c r="R47" s="19" t="n">
        <v>5</v>
      </c>
      <c r="S47" s="19" t="n">
        <v>4</v>
      </c>
      <c r="T47" s="20">
        <f>SUM(R47:S47)+SUM(Q32:Q46)</f>
        <v/>
      </c>
      <c r="U47" s="20">
        <f>RANK(T47,T32:T49,0)</f>
        <v/>
      </c>
    </row>
    <row r="48">
      <c r="A48" s="17" t="inlineStr">
        <is>
          <t>Q17</t>
        </is>
      </c>
      <c r="B48" s="19">
        <f>6-R32</f>
        <v/>
      </c>
      <c r="C48" s="19">
        <f>6-R33</f>
        <v/>
      </c>
      <c r="D48" s="19">
        <f>6-R34</f>
        <v/>
      </c>
      <c r="E48" s="19">
        <f>6-R35</f>
        <v/>
      </c>
      <c r="F48" s="19">
        <f>6-R36</f>
        <v/>
      </c>
      <c r="G48" s="19">
        <f>6-R37</f>
        <v/>
      </c>
      <c r="H48" s="19">
        <f>6-R38</f>
        <v/>
      </c>
      <c r="I48" s="19">
        <f>6-R39</f>
        <v/>
      </c>
      <c r="J48" s="19">
        <f>6-R40</f>
        <v/>
      </c>
      <c r="K48" s="19">
        <f>6-R41</f>
        <v/>
      </c>
      <c r="L48" s="19">
        <f>6-R42</f>
        <v/>
      </c>
      <c r="M48" s="19">
        <f>6-R43</f>
        <v/>
      </c>
      <c r="N48" s="19">
        <f>6-R44</f>
        <v/>
      </c>
      <c r="O48" s="19">
        <f>6-R45</f>
        <v/>
      </c>
      <c r="P48" s="19">
        <f>6-R46</f>
        <v/>
      </c>
      <c r="Q48" s="19">
        <f>6-R47</f>
        <v/>
      </c>
      <c r="R48" s="18" t="inlineStr">
        <is>
          <t>—</t>
        </is>
      </c>
      <c r="S48" s="19" t="n">
        <v>4</v>
      </c>
      <c r="T48" s="20">
        <f>SUM(S48:S48)+SUM(R32:R47)</f>
        <v/>
      </c>
      <c r="U48" s="20">
        <f>RANK(T48,T32:T49,0)</f>
        <v/>
      </c>
    </row>
    <row r="49">
      <c r="A49" s="17" t="inlineStr">
        <is>
          <t>Q18</t>
        </is>
      </c>
      <c r="B49" s="19">
        <f>6-S32</f>
        <v/>
      </c>
      <c r="C49" s="19">
        <f>6-S33</f>
        <v/>
      </c>
      <c r="D49" s="19">
        <f>6-S34</f>
        <v/>
      </c>
      <c r="E49" s="19">
        <f>6-S35</f>
        <v/>
      </c>
      <c r="F49" s="19">
        <f>6-S36</f>
        <v/>
      </c>
      <c r="G49" s="19">
        <f>6-S37</f>
        <v/>
      </c>
      <c r="H49" s="19">
        <f>6-S38</f>
        <v/>
      </c>
      <c r="I49" s="19">
        <f>6-S39</f>
        <v/>
      </c>
      <c r="J49" s="19">
        <f>6-S40</f>
        <v/>
      </c>
      <c r="K49" s="19">
        <f>6-S41</f>
        <v/>
      </c>
      <c r="L49" s="19">
        <f>6-S42</f>
        <v/>
      </c>
      <c r="M49" s="19">
        <f>6-S43</f>
        <v/>
      </c>
      <c r="N49" s="19">
        <f>6-S44</f>
        <v/>
      </c>
      <c r="O49" s="19">
        <f>6-S45</f>
        <v/>
      </c>
      <c r="P49" s="19">
        <f>6-S46</f>
        <v/>
      </c>
      <c r="Q49" s="19">
        <f>6-S47</f>
        <v/>
      </c>
      <c r="R49" s="19">
        <f>6-S48</f>
        <v/>
      </c>
      <c r="S49" s="18" t="inlineStr">
        <is>
          <t>—</t>
        </is>
      </c>
      <c r="T49" s="20">
        <f>SUM(S32:S48)</f>
        <v/>
      </c>
      <c r="U49" s="20">
        <f>RANK(T49,T32:T49,0)</f>
        <v/>
      </c>
    </row>
    <row r="51">
      <c r="A51" s="15" t="inlineStr">
        <is>
          <t>Notable primary overlaps (score 4-5)</t>
        </is>
      </c>
    </row>
    <row r="52">
      <c r="A52" s="17" t="inlineStr">
        <is>
          <t>Direction</t>
        </is>
      </c>
      <c r="B52" s="17" t="inlineStr">
        <is>
          <t>Score</t>
        </is>
      </c>
      <c r="C52" s="17" t="inlineStr">
        <is>
          <t>Reverse (auto)</t>
        </is>
      </c>
      <c r="D52" s="17" t="inlineStr">
        <is>
          <t>Why</t>
        </is>
      </c>
    </row>
    <row r="53" ht="45" customHeight="1">
      <c r="A53" s="12" t="inlineStr">
        <is>
          <t>Q1 -&gt; Q7</t>
        </is>
      </c>
      <c r="B53" s="12" t="n">
        <v>5</v>
      </c>
      <c r="C53" s="12" t="n">
        <v>1</v>
      </c>
      <c r="D53" s="12" t="inlineStr">
        <is>
          <t>Near-duplicate: both ask about having a clearly defined career-path structure.</t>
        </is>
      </c>
    </row>
    <row r="54" ht="45" customHeight="1">
      <c r="A54" s="14" t="inlineStr">
        <is>
          <t>Q3 -&gt; Q5</t>
        </is>
      </c>
      <c r="B54" s="14" t="n">
        <v>5</v>
      </c>
      <c r="C54" s="14" t="n">
        <v>1</v>
      </c>
      <c r="D54" s="14" t="inlineStr">
        <is>
          <t>Both are about how promotion decisions are made (clarity vs. fairness/consistency).</t>
        </is>
      </c>
    </row>
    <row r="55" ht="45" customHeight="1">
      <c r="A55" s="12" t="inlineStr">
        <is>
          <t>Q6 -&gt; Q8</t>
        </is>
      </c>
      <c r="B55" s="12" t="n">
        <v>5</v>
      </c>
      <c r="C55" s="12" t="n">
        <v>1</v>
      </c>
      <c r="D55" s="12" t="inlineStr">
        <is>
          <t>Two sides of the same coin: desired fix vs. the pain point it would fix.</t>
        </is>
      </c>
    </row>
    <row r="56" ht="45" customHeight="1">
      <c r="A56" s="14" t="inlineStr">
        <is>
          <t>Q8 -&gt; Q12</t>
        </is>
      </c>
      <c r="B56" s="14" t="n">
        <v>5</v>
      </c>
      <c r="C56" s="14" t="n">
        <v>1</v>
      </c>
      <c r="D56" s="14" t="inlineStr">
        <is>
          <t>Q12 is an explicit follow-up to the biggest-challenge question (Q8).</t>
        </is>
      </c>
    </row>
    <row r="57" ht="45" customHeight="1">
      <c r="A57" s="12" t="inlineStr">
        <is>
          <t>Q16 -&gt; Q17</t>
        </is>
      </c>
      <c r="B57" s="12" t="n">
        <v>5</v>
      </c>
      <c r="C57" s="12" t="n">
        <v>1</v>
      </c>
      <c r="D57" s="12" t="inlineStr">
        <is>
          <t>Both measure awareness/understanding of the 2030 EBITDA target.</t>
        </is>
      </c>
    </row>
    <row r="58" ht="45" customHeight="1">
      <c r="A58" s="14" t="inlineStr">
        <is>
          <t>Q1 -&gt; Q3</t>
        </is>
      </c>
      <c r="B58" s="14" t="n">
        <v>4</v>
      </c>
      <c r="C58" s="14" t="n">
        <v>2</v>
      </c>
      <c r="D58" s="14" t="inlineStr">
        <is>
          <t>Both measure clarity of the advancement structure (path vs. promotion criteria).</t>
        </is>
      </c>
    </row>
    <row r="59" ht="45" customHeight="1">
      <c r="A59" s="12" t="inlineStr">
        <is>
          <t>Q2 -&gt; Q4</t>
        </is>
      </c>
      <c r="B59" s="12" t="n">
        <v>4</v>
      </c>
      <c r="C59" s="12" t="n">
        <v>2</v>
      </c>
      <c r="D59" s="12" t="inlineStr">
        <is>
          <t>Both concern availability/quality of the same L&amp;D resources (awareness vs. accessibility &amp; adequacy).</t>
        </is>
      </c>
    </row>
    <row r="60" ht="45" customHeight="1">
      <c r="A60" s="14" t="inlineStr">
        <is>
          <t>Q3 -&gt; Q7</t>
        </is>
      </c>
      <c r="B60" s="14" t="n">
        <v>4</v>
      </c>
      <c r="C60" s="14" t="n">
        <v>2</v>
      </c>
      <c r="D60" s="14" t="inlineStr">
        <is>
          <t>Both about structural clarity of career advancement.</t>
        </is>
      </c>
    </row>
    <row r="61" ht="45" customHeight="1">
      <c r="A61" s="12" t="inlineStr">
        <is>
          <t>Q3 -&gt; Q8</t>
        </is>
      </c>
      <c r="B61" s="12" t="n">
        <v>4</v>
      </c>
      <c r="C61" s="12" t="n">
        <v>2</v>
      </c>
      <c r="D61" s="12" t="inlineStr">
        <is>
          <t>The challenge MCQ explicitly includes 'promotion criteria are unclear' as an option.</t>
        </is>
      </c>
    </row>
    <row r="62" ht="45" customHeight="1">
      <c r="A62" s="14" t="inlineStr">
        <is>
          <t>Q4 -&gt; Q9</t>
        </is>
      </c>
      <c r="B62" s="14" t="n">
        <v>4</v>
      </c>
      <c r="C62" s="14" t="n">
        <v>2</v>
      </c>
      <c r="D62" s="14" t="inlineStr">
        <is>
          <t>Both measure sufficiency of development support (general adequacy vs. technical skill currency).</t>
        </is>
      </c>
    </row>
    <row r="63" ht="45" customHeight="1">
      <c r="A63" s="12" t="inlineStr">
        <is>
          <t>Q6 -&gt; Q15</t>
        </is>
      </c>
      <c r="B63" s="12" t="n">
        <v>4</v>
      </c>
      <c r="C63" s="12" t="n">
        <v>2</v>
      </c>
      <c r="D63" s="12" t="inlineStr">
        <is>
          <t>Same intent (what would help), different format: closed MCQ vs. open catch-all.</t>
        </is>
      </c>
    </row>
    <row r="64" ht="45" customHeight="1">
      <c r="A64" s="14" t="inlineStr">
        <is>
          <t>Q8 -&gt; Q13</t>
        </is>
      </c>
      <c r="B64" s="14" t="n">
        <v>4</v>
      </c>
      <c r="C64" s="14" t="n">
        <v>2</v>
      </c>
      <c r="D64" s="14" t="inlineStr">
        <is>
          <t>Root cause is asked about the same 'issue' identified by the challenge question (Q8).</t>
        </is>
      </c>
    </row>
    <row r="65" ht="45" customHeight="1">
      <c r="A65" s="12" t="inlineStr">
        <is>
          <t>Q9 -&gt; Q10</t>
        </is>
      </c>
      <c r="B65" s="12" t="n">
        <v>4</v>
      </c>
      <c r="C65" s="12" t="n">
        <v>2</v>
      </c>
      <c r="D65" s="12" t="inlineStr">
        <is>
          <t>Both are Ungku's technical-exposure sub-questions (skill currency vs. stretch assignments).</t>
        </is>
      </c>
    </row>
    <row r="66" ht="45" customHeight="1">
      <c r="A66" s="14" t="inlineStr">
        <is>
          <t>Q12 -&gt; Q13</t>
        </is>
      </c>
      <c r="B66" s="14" t="n">
        <v>4</v>
      </c>
      <c r="C66" s="14" t="n">
        <v>2</v>
      </c>
      <c r="D66" s="14" t="inlineStr">
        <is>
          <t>Paired diagnostic questions about the same issue: severity and root cause.</t>
        </is>
      </c>
    </row>
    <row r="67" ht="45" customHeight="1">
      <c r="A67" s="12" t="inlineStr">
        <is>
          <t>Q14 -&gt; Q15</t>
        </is>
      </c>
      <c r="B67" s="12" t="n">
        <v>4</v>
      </c>
      <c r="C67" s="12" t="n">
        <v>2</v>
      </c>
      <c r="D67" s="12" t="inlineStr">
        <is>
          <t>Mark Turner's retention/development pair — both about staying/leaving sentiment.</t>
        </is>
      </c>
    </row>
    <row r="68" ht="45" customHeight="1">
      <c r="A68" s="14" t="inlineStr">
        <is>
          <t>Q16 -&gt; Q18</t>
        </is>
      </c>
      <c r="B68" s="14" t="n">
        <v>4</v>
      </c>
      <c r="C68" s="14" t="n">
        <v>2</v>
      </c>
      <c r="D68" s="14" t="inlineStr">
        <is>
          <t>Same EBITDA-target topic cluster (awareness vs. barriers).</t>
        </is>
      </c>
    </row>
    <row r="69" ht="45" customHeight="1">
      <c r="A69" s="12" t="inlineStr">
        <is>
          <t>Q17 -&gt; Q18</t>
        </is>
      </c>
      <c r="B69" s="12" t="n">
        <v>4</v>
      </c>
      <c r="C69" s="12" t="n">
        <v>2</v>
      </c>
      <c r="D69" s="12" t="inlineStr">
        <is>
          <t>Same EBITDA-target topic cluster (role contribution vs. barriers).</t>
        </is>
      </c>
    </row>
  </sheetData>
  <conditionalFormatting sqref="B32:S49">
    <cfRule type="colorScale" priority="1">
      <colorScale>
        <cfvo type="num" val="1"/>
        <cfvo type="num" val="3"/>
        <cfvo type="num" val="5"/>
        <color rgb="00C6EFCE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tabSelected="1" zoomScale="70" zoomScaleNormal="70" workbookViewId="0">
      <pane ySplit="3" topLeftCell="A21" activePane="bottomLeft" state="frozen"/>
      <selection pane="bottomLeft" activeCell="D21" sqref="D21"/>
    </sheetView>
  </sheetViews>
  <sheetFormatPr baseColWidth="8" defaultRowHeight="14.5"/>
  <cols>
    <col width="6" customWidth="1" min="1" max="1"/>
    <col width="18" customWidth="1" min="2" max="2"/>
    <col width="30" customWidth="1" min="3" max="3"/>
    <col width="70" customWidth="1" min="4" max="4"/>
    <col width="24" customWidth="1" min="5" max="5"/>
    <col width="80" customWidth="1" min="6" max="6"/>
  </cols>
  <sheetData>
    <row r="1">
      <c r="B1" t="inlineStr">
        <is>
          <t>Version :</t>
        </is>
      </c>
      <c r="C1" t="inlineStr">
        <is>
          <t>Draft</t>
        </is>
      </c>
    </row>
    <row r="3" ht="32.15" customHeight="1">
      <c r="A3" s="3" t="inlineStr">
        <is>
          <t>No.</t>
        </is>
      </c>
      <c r="B3" s="3" t="inlineStr">
        <is>
          <t>Contributor</t>
        </is>
      </c>
      <c r="C3" s="3" t="inlineStr">
        <is>
          <t>Theme</t>
        </is>
      </c>
      <c r="D3" s="3" t="inlineStr">
        <is>
          <t>Question</t>
        </is>
      </c>
      <c r="E3" s="3" t="inlineStr">
        <is>
          <t>Type</t>
        </is>
      </c>
      <c r="F3" s="3" t="inlineStr">
        <is>
          <t>Answer Options</t>
        </is>
      </c>
    </row>
    <row r="4" ht="60" customHeight="1">
      <c r="A4" s="1" t="n">
        <v>1</v>
      </c>
      <c r="B4" s="2" t="inlineStr">
        <is>
          <t>Devi Dutta</t>
        </is>
      </c>
      <c r="C4" s="2" t="inlineStr">
        <is>
          <t>Clarity &amp; Awareness</t>
        </is>
      </c>
      <c r="D4" s="2" t="inlineStr">
        <is>
          <t>How clearly do you understand your career progression path within Gentari (technical/non-technical)?</t>
        </is>
      </c>
      <c r="E4" s="2" t="inlineStr">
        <is>
          <t>Open-ended</t>
        </is>
      </c>
      <c r="F4" s="2" t="n"/>
    </row>
    <row r="5" ht="60" customHeight="1">
      <c r="A5" s="1" t="n">
        <v>2</v>
      </c>
      <c r="B5" s="2" t="inlineStr">
        <is>
          <t>Devi Dutta</t>
        </is>
      </c>
      <c r="C5" s="2" t="inlineStr">
        <is>
          <t>Clarity &amp; Awareness</t>
        </is>
      </c>
      <c r="D5" s="2" t="inlineStr">
        <is>
          <t>Are you aware of any structured training or development programs available for your growth?</t>
        </is>
      </c>
      <c r="E5" s="2" t="inlineStr">
        <is>
          <t>Open-ended</t>
        </is>
      </c>
      <c r="F5" s="2" t="n"/>
    </row>
    <row r="6" ht="60" customHeight="1">
      <c r="A6" s="1" t="n">
        <v>3</v>
      </c>
      <c r="B6" s="2" t="inlineStr">
        <is>
          <t>Devi Dutta</t>
        </is>
      </c>
      <c r="C6" s="2" t="inlineStr">
        <is>
          <t>Clarity &amp; Awareness</t>
        </is>
      </c>
      <c r="D6" s="2" t="inlineStr">
        <is>
          <t>Do you feel the expectations and criteria for promotion in your role are clearly defined?</t>
        </is>
      </c>
      <c r="E6" s="2" t="inlineStr">
        <is>
          <t>Open-ended</t>
        </is>
      </c>
      <c r="F6" s="2" t="n"/>
    </row>
    <row r="7" ht="60" customHeight="1">
      <c r="A7" s="1" t="n">
        <v>4</v>
      </c>
      <c r="B7" s="2" t="inlineStr">
        <is>
          <t>Devi Dutta</t>
        </is>
      </c>
      <c r="C7" s="2" t="inlineStr">
        <is>
          <t>Effectiveness of Existing Programs</t>
        </is>
      </c>
      <c r="D7" s="2" t="inlineStr">
        <is>
          <t>How effective are the current learning and development programs in enhancing your skills?</t>
        </is>
      </c>
      <c r="E7" s="2" t="inlineStr">
        <is>
          <t>Open-ended</t>
        </is>
      </c>
      <c r="F7" s="2" t="n"/>
    </row>
    <row r="8" ht="60" customHeight="1">
      <c r="A8" s="1" t="n">
        <v>5</v>
      </c>
      <c r="B8" s="2" t="inlineStr">
        <is>
          <t>Devi Dutta</t>
        </is>
      </c>
      <c r="C8" s="2" t="inlineStr">
        <is>
          <t>Effectiveness of Existing Programs</t>
        </is>
      </c>
      <c r="D8" s="2" t="inlineStr">
        <is>
          <t>Do you feel you are receiving adequate support (training, mentoring, exposure) to grow in your role?</t>
        </is>
      </c>
      <c r="E8" s="2" t="inlineStr">
        <is>
          <t>Open-ended</t>
        </is>
      </c>
      <c r="F8" s="2" t="n"/>
    </row>
    <row r="9" ht="60" customHeight="1">
      <c r="A9" s="1" t="n">
        <v>6</v>
      </c>
      <c r="B9" s="2" t="inlineStr">
        <is>
          <t>Devi Dutta</t>
        </is>
      </c>
      <c r="C9" s="2" t="inlineStr">
        <is>
          <t>Effectiveness of Existing Programs</t>
        </is>
      </c>
      <c r="D9" s="2" t="inlineStr">
        <is>
          <t>How fairly and consistently are promotion and growth opportunities applied across teams/functions?</t>
        </is>
      </c>
      <c r="E9" s="2" t="inlineStr">
        <is>
          <t>Open-ended</t>
        </is>
      </c>
      <c r="F9" s="2" t="n"/>
    </row>
    <row r="10" ht="60" customHeight="1">
      <c r="A10" s="1" t="n">
        <v>7</v>
      </c>
      <c r="B10" s="2" t="inlineStr">
        <is>
          <t>Devi Dutta</t>
        </is>
      </c>
      <c r="C10" s="2" t="inlineStr">
        <is>
          <t>Expectations &amp; Improvement Areas</t>
        </is>
      </c>
      <c r="D10" s="2" t="inlineStr">
        <is>
          <t>What additional support or programs would help you progress in your career (e.g., mentoring, certifications, role rotations)?</t>
        </is>
      </c>
      <c r="E10" s="2" t="inlineStr">
        <is>
          <t>Open-ended</t>
        </is>
      </c>
      <c r="F10" s="2" t="n"/>
    </row>
    <row r="11" ht="60" customHeight="1">
      <c r="A11" s="1" t="n">
        <v>8</v>
      </c>
      <c r="B11" s="2" t="inlineStr">
        <is>
          <t>Devi Dutta</t>
        </is>
      </c>
      <c r="C11" s="2" t="inlineStr">
        <is>
          <t>Expectations &amp; Improvement Areas</t>
        </is>
      </c>
      <c r="D11" s="2" t="inlineStr">
        <is>
          <t>Would you prefer a more clearly defined career path framework (technical vs managerial tracks)?</t>
        </is>
      </c>
      <c r="E11" s="2" t="inlineStr">
        <is>
          <t>Open-ended</t>
        </is>
      </c>
      <c r="F11" s="2" t="n"/>
    </row>
    <row r="12" ht="60" customHeight="1">
      <c r="A12" s="1" t="n">
        <v>9</v>
      </c>
      <c r="B12" s="2" t="inlineStr">
        <is>
          <t>Devi Dutta</t>
        </is>
      </c>
      <c r="C12" s="2" t="inlineStr">
        <is>
          <t>Expectations &amp; Improvement Areas</t>
        </is>
      </c>
      <c r="D12" s="2" t="inlineStr">
        <is>
          <t>What are the key challenges you currently face in your career growth within the organization?</t>
        </is>
      </c>
      <c r="E12" s="2" t="inlineStr">
        <is>
          <t>Open-ended</t>
        </is>
      </c>
      <c r="F12" s="2" t="n"/>
    </row>
    <row r="13" ht="60" customHeight="1">
      <c r="A13" s="1" t="n">
        <v>10</v>
      </c>
      <c r="B13" s="2" t="inlineStr">
        <is>
          <t>Fadhli Afiq</t>
        </is>
      </c>
      <c r="C13" s="2" t="inlineStr">
        <is>
          <t>Validate Current State</t>
        </is>
      </c>
      <c r="D13" s="2" t="inlineStr">
        <is>
          <t>How clear is your career development pathway within Gentari for your current role (technical or non-technical)?</t>
        </is>
      </c>
      <c r="E13" s="2" t="inlineStr">
        <is>
          <t>Rating Scale (Likert)</t>
        </is>
      </c>
      <c r="F13" s="2" t="inlineStr">
        <is>
          <t>Very clear | Somewhat clear | Neutral | Somewhat unclear | Very unclear</t>
        </is>
      </c>
    </row>
    <row r="14" ht="60" customHeight="1">
      <c r="A14" s="1" t="n">
        <v>11</v>
      </c>
      <c r="B14" s="2" t="inlineStr">
        <is>
          <t>Fadhli Afiq</t>
        </is>
      </c>
      <c r="C14" s="2" t="inlineStr">
        <is>
          <t>Validate Customer Pain</t>
        </is>
      </c>
      <c r="D14" s="2" t="inlineStr">
        <is>
          <t>Which of the following best describes the biggest challenge you face in developing your career at Gentari? (Select up to two)</t>
        </is>
      </c>
      <c r="E14" s="2" t="inlineStr">
        <is>
          <t>MCQ (Multi-select)</t>
        </is>
      </c>
      <c r="F14" s="2" t="inlineStr">
        <is>
          <t>I do not know what competencies are required for the next role | I do not know what training or development I should pursue | There is no structured career pathway for my role | Opportunities for technical growth are limited | Opportunities for leadership/non-technical growth are limited | Promotion criteria are unclear | I do not face significant challenges | Other</t>
        </is>
      </c>
    </row>
    <row r="15" ht="60" customHeight="1">
      <c r="A15" s="1" t="n">
        <v>12</v>
      </c>
      <c r="B15" s="2" t="inlineStr">
        <is>
          <t>Fadhli Afiq</t>
        </is>
      </c>
      <c r="C15" s="2" t="inlineStr">
        <is>
          <t>Validate Desired Outcome</t>
        </is>
      </c>
      <c r="D15" s="2" t="inlineStr">
        <is>
          <t>If Gentari could improve one aspect of career development, which would create the greatest value for you?</t>
        </is>
      </c>
      <c r="E15" s="2" t="inlineStr">
        <is>
          <t>MCQ (Single-select)</t>
        </is>
      </c>
      <c r="F15" s="2" t="inlineStr">
        <is>
          <t>A clear career progression roadmap for my role | A competency framework showing skills required for each career level | Structured learning and certification pathways | Individual development plans with regular career discussions | Mentoring or coaching from experienced colleagues | Greater visibility of internal career opportunities | Other</t>
        </is>
      </c>
    </row>
    <row r="16" ht="43.5" customHeight="1">
      <c r="A16" s="1" t="n">
        <v>13</v>
      </c>
      <c r="B16" s="2" t="inlineStr">
        <is>
          <t>Ungku M Zulhilmi</t>
        </is>
      </c>
      <c r="C16" s="2" t="inlineStr">
        <is>
          <t>Future-Readiness &amp; Skill Obsolescence</t>
        </is>
      </c>
      <c r="D16" s="2" t="inlineStr">
        <is>
          <t>How confident are you that the development support available within Gentari is keeping your technical skills current with industry trends and emerging technologies in your field?</t>
        </is>
      </c>
      <c r="E16" s="2" t="inlineStr">
        <is>
          <t>Open-ended</t>
        </is>
      </c>
      <c r="F16" s="2" t="inlineStr">
        <is>
          <t>1- not at all confident --&gt; 5 - Highly confident</t>
        </is>
      </c>
    </row>
    <row r="17" ht="58" customHeight="1">
      <c r="A17" s="1" t="n">
        <v>13</v>
      </c>
      <c r="B17" s="2" t="inlineStr">
        <is>
          <t>Ungku M Zulhilmi</t>
        </is>
      </c>
      <c r="C17" s="2" t="inlineStr">
        <is>
          <t>Stretch Assignments &amp; Technical Exposure</t>
        </is>
      </c>
      <c r="D17" s="2" t="inlineStr">
        <is>
          <t>How frequently are you given the opportunity to work on projects or assignments outside your immediate scope that stretch your technical capabilities and contribute to your career development?</t>
        </is>
      </c>
      <c r="E17" s="2" t="n"/>
      <c r="F17" s="2" t="inlineStr">
        <is>
          <t>Regularly (several times a year or more)
Occasionally (once a year or so)
Rarely (less than once a year)
Never</t>
        </is>
      </c>
    </row>
    <row r="18" ht="58" customHeight="1">
      <c r="A18" s="1" t="n">
        <v>14</v>
      </c>
      <c r="B18" s="2" t="inlineStr">
        <is>
          <t>Ungku M Zulhilmi</t>
        </is>
      </c>
      <c r="C18" s="2" t="inlineStr">
        <is>
          <t>Individual Development Plan (IDP)</t>
        </is>
      </c>
      <c r="D18" s="2" t="inlineStr">
        <is>
          <t>Do you currently have a formal Individual Development Plan (IDP) agreed with your manager that outlines specific actions to support your career growth?</t>
        </is>
      </c>
      <c r="E18" s="2" t="n"/>
      <c r="F18" s="2" t="inlineStr">
        <is>
          <t>Yes — and it is actively reviewed and updated regularly
Yes — but it is rarely reviewed or acted upon
I had one before but it is no longer active
No — I do not have a formal IDP</t>
        </is>
      </c>
    </row>
    <row r="19" ht="72.5" customHeight="1">
      <c r="A19" s="1" t="n">
        <v>15</v>
      </c>
      <c r="B19" s="6" t="inlineStr">
        <is>
          <t>Andrew Ng</t>
        </is>
      </c>
      <c r="C19" s="6" t="inlineStr">
        <is>
          <t>Gauging severity of the issue</t>
        </is>
      </c>
      <c r="D19" s="6" t="inlineStr">
        <is>
          <t>To what extent does the issue impact your motivation and performance at work? (as follow up to question 9 or 11)</t>
        </is>
      </c>
      <c r="E19" s="2" t="inlineStr">
        <is>
          <t>MCQ (Single-select)</t>
        </is>
      </c>
      <c r="F19" s="5" t="inlineStr">
        <is>
          <t>-	No impact
-	Slight impact
-	Moderate impact
-	High impact
-	Very high impact</t>
        </is>
      </c>
    </row>
    <row r="20" ht="87" customHeight="1">
      <c r="A20" s="1" t="n">
        <v>16</v>
      </c>
      <c r="B20" s="6" t="inlineStr">
        <is>
          <t>Andrew Ng</t>
        </is>
      </c>
      <c r="C20" s="6" t="inlineStr">
        <is>
          <t>Root Cause Perception</t>
        </is>
      </c>
      <c r="D20" s="6" t="inlineStr">
        <is>
          <t>What do you believe is the primary reason for this issue?</t>
        </is>
      </c>
      <c r="E20" s="2" t="inlineStr">
        <is>
          <t>MCQ (Multi-select)</t>
        </is>
      </c>
      <c r="F20" s="5" t="inlineStr">
        <is>
          <t>- 	Lack of structured career framework
- 	Insufficient communication from management
- 	Limited training and development opportunities
- 	Lack of mentorship or guidance
- 	Misalignment between roles and expectations
- 	Other: ___________</t>
        </is>
      </c>
    </row>
    <row r="21" ht="87" customHeight="1">
      <c r="A21" s="1" t="n">
        <v>17</v>
      </c>
      <c r="B21" s="6" t="inlineStr">
        <is>
          <t>Andrew Ng</t>
        </is>
      </c>
      <c r="C21" s="6" t="inlineStr">
        <is>
          <t>Accessibility and Adequacy of Development Resources</t>
        </is>
      </c>
      <c r="D21" s="6" t="inlineStr">
        <is>
          <t>How would you rate both the accessibility and adequacy of learning and development resources (e.g., training, mentoring, certifications) available to you?</t>
        </is>
      </c>
      <c r="E21" s="2" t="inlineStr">
        <is>
          <t>MCQ (Single-select)</t>
        </is>
      </c>
      <c r="F21" s="5" t="inlineStr">
        <is>
          <t>- Very accessible and fully adequate for my needs
- Accessible and mostly adequate
- Accessible but not adequate (insufficient quality/relevance)
- Difficult to access but adequate when available
- Difficult to access and not adequate
- Not aware of any available resources</t>
        </is>
      </c>
    </row>
    <row r="22" ht="58" customFormat="1" customHeight="1" s="8">
      <c r="A22" s="1" t="n">
        <v>18</v>
      </c>
      <c r="B22" s="6" t="inlineStr">
        <is>
          <t>Mark Turner</t>
        </is>
      </c>
      <c r="C22" s="6" t="inlineStr">
        <is>
          <t>Retention</t>
        </is>
      </c>
      <c r="D22" s="6" t="inlineStr">
        <is>
          <t xml:space="preserve">Do you see yourself still being within the business in the next 12mths </t>
        </is>
      </c>
      <c r="E22" s="2" t="inlineStr">
        <is>
          <t>Open-ended</t>
        </is>
      </c>
      <c r="F22" s="5" t="inlineStr">
        <is>
          <t>- Yes
- No
If no can you please explain why not?</t>
        </is>
      </c>
    </row>
    <row r="23" ht="58" customHeight="1">
      <c r="A23" s="1" t="n">
        <v>19</v>
      </c>
      <c r="B23" s="6" t="inlineStr">
        <is>
          <t>Mark Turner</t>
        </is>
      </c>
      <c r="C23" s="6" t="inlineStr">
        <is>
          <t>Development</t>
        </is>
      </c>
      <c r="D23" s="6" t="inlineStr">
        <is>
          <t xml:space="preserve">From a Talent Growth and Retension perspective is there anything you would like to tell us that you think would improve the business and /or help you in your career with Gentari? </t>
        </is>
      </c>
      <c r="E23" s="2" t="inlineStr">
        <is>
          <t>Open-ended</t>
        </is>
      </c>
      <c r="F23" s="5" t="inlineStr">
        <is>
          <t>- Yes
- No
If yes please provide information below</t>
        </is>
      </c>
    </row>
    <row r="24" ht="58" customHeight="1">
      <c r="D24" t="inlineStr">
        <is>
          <t>How aware are you of Gentari's aspiration to achieve an EBITDA of US$613 million by 2030?</t>
        </is>
      </c>
      <c r="F24" s="7" t="inlineStr">
        <is>
          <t>Very aware
Somewhat aware
Aware but not familiar with the details
Not aware</t>
        </is>
      </c>
    </row>
    <row r="25" ht="72.5" customHeight="1">
      <c r="D25" t="inlineStr">
        <is>
          <t>How well do you understand your role and team's contribution towards achieving the 2030 EBITDA target?</t>
        </is>
      </c>
      <c r="F25" s="7" t="inlineStr">
        <is>
          <t>Very well
Somewhat well
Neutral
Not very well
Not at all</t>
        </is>
      </c>
    </row>
    <row r="26" ht="116" customHeight="1">
      <c r="D26" s="9" t="inlineStr">
        <is>
          <t>In your opinion, what are the biggest barriers that could prevent Gentari from achieving its 2030 EBITDA target?</t>
        </is>
      </c>
      <c r="F26" s="7" t="inlineStr">
        <is>
          <t>Capability and skills gaps
Talent development and retention
Slow decision-making
Inefficient processes
Lack of cross-functional collaboration
Resource constraints
Market conditions
Other (please specify)</t>
        </is>
      </c>
    </row>
  </sheetData>
  <pageMargins left="0.75" right="0.75" top="1" bottom="1" header="0.5" footer="0.5"/>
  <headerFooter>
    <oddHeader>&amp;C&amp;"Aptos"&amp;1 &amp;K000000 Confidential - Authorized for External Distribution#_x000d_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2026-06-30T03:08:53Z</dcterms:created>
  <dcterms:modified xsi:type="dcterms:W3CDTF">2026-07-01T06:19:28Z</dcterms:modified>
  <cp:lastModifiedBy>Ungku M Zulhilmi Ungku Zakaria (Gentari)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0x0101007AF448F3153C2B4FB429E5D6CA0124D1</vt:lpwstr>
  </property>
  <property name="MediaServiceImageTags" fmtid="{D5CDD505-2E9C-101B-9397-08002B2CF9AE}" pid="3">
    <vt:lpwstr/>
  </property>
</Properties>
</file>